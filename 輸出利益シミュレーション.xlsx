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益シミュレーション" sheetId="1" state="visible" r:id="rId1"/>
    <sheet name="シナリオ比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¥#,##0"/>
    <numFmt numFmtId="165" formatCode="0.0%"/>
    <numFmt numFmtId="166" formatCode="#,##0&quot;件&quot;"/>
    <numFmt numFmtId="167" formatCode="0.0&quot;件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color rgb="00000000"/>
    </font>
    <font>
      <name val="Arial"/>
      <color rgb="000000FF"/>
    </font>
    <font>
      <name val="Arial"/>
      <color rgb="00808080"/>
      <sz val="9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7" fillId="0" borderId="1" pivotButton="0" quotePrefix="0" xfId="0"/>
    <xf numFmtId="164" fontId="0" fillId="0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6" fontId="7" fillId="6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44" customWidth="1" min="4" max="4"/>
  </cols>
  <sheetData>
    <row r="2">
      <c r="B2" s="1" t="inlineStr">
        <is>
          <t>日本陶器・和クラフト 海外輸出  利益シミュレーション（破損率込み）</t>
        </is>
      </c>
    </row>
    <row r="3">
      <c r="B3" s="2" t="inlineStr">
        <is>
          <t>黄色セル＝あなたが自由に変える入力値／白セル＝自動計算。目標月間利益を達成する販売数がC列下部に出ます。</t>
        </is>
      </c>
    </row>
    <row r="5">
      <c r="B5" s="3" t="inlineStr">
        <is>
          <t>① 前提条件（入力）</t>
        </is>
      </c>
      <c r="C5" s="4" t="n"/>
      <c r="D5" s="4" t="n"/>
    </row>
    <row r="6">
      <c r="B6" s="5" t="inlineStr">
        <is>
          <t>販売単価（USD）</t>
        </is>
      </c>
      <c r="C6" s="6" t="n">
        <v>35</v>
      </c>
      <c r="D6" s="7" t="inlineStr">
        <is>
          <t>Etsyでの表示価格。$25〜80が売れ筋。まずは平均$35想定</t>
        </is>
      </c>
    </row>
    <row r="7">
      <c r="B7" s="5" t="inlineStr">
        <is>
          <t>為替レート（¥/USD）</t>
        </is>
      </c>
      <c r="C7" s="8" t="n">
        <v>150</v>
      </c>
      <c r="D7" s="7" t="inlineStr">
        <is>
          <t>1ドル=150円。ニュースの実勢に合わせて更新</t>
        </is>
      </c>
    </row>
    <row r="8">
      <c r="B8" s="9" t="inlineStr">
        <is>
          <t>販売単価（円）</t>
        </is>
      </c>
      <c r="C8" s="10">
        <f>C6*C7</f>
        <v/>
      </c>
      <c r="D8" s="7" t="inlineStr">
        <is>
          <t>＝USD単価 × 為替（自動計算）</t>
        </is>
      </c>
    </row>
    <row r="9">
      <c r="B9" s="5" t="inlineStr">
        <is>
          <t>仕入原価（円/個）</t>
        </is>
      </c>
      <c r="C9" s="11" t="n">
        <v>1500</v>
      </c>
      <c r="D9" s="7" t="inlineStr">
        <is>
          <t>卸・メルカリ・骨董市などの仕入値</t>
        </is>
      </c>
    </row>
    <row r="10">
      <c r="B10" s="5" t="inlineStr">
        <is>
          <t>国際送料（円/個）</t>
        </is>
      </c>
      <c r="C10" s="11" t="n">
        <v>1800</v>
      </c>
      <c r="D10" s="7" t="inlineStr">
        <is>
          <t>陶器は保険付き推奨。EMS/eパケット等。重さで変動</t>
        </is>
      </c>
    </row>
    <row r="11">
      <c r="B11" s="5" t="inlineStr">
        <is>
          <t>梱包資材費（円/個）</t>
        </is>
      </c>
      <c r="C11" s="11" t="n">
        <v>250</v>
      </c>
      <c r="D11" s="7" t="inlineStr">
        <is>
          <t>プチプチ・箱・緩衝材。二重箱なら少し高め</t>
        </is>
      </c>
    </row>
    <row r="12">
      <c r="B12" s="5" t="inlineStr">
        <is>
          <t>プラットフォーム手数料率</t>
        </is>
      </c>
      <c r="C12" s="12" t="n">
        <v>0.12</v>
      </c>
      <c r="D12" s="7" t="inlineStr">
        <is>
          <t>Etsy: 取引6.5%＋決済約4%＋出品/広告分の余裕込みで約12%</t>
        </is>
      </c>
    </row>
    <row r="13">
      <c r="B13" s="5" t="inlineStr">
        <is>
          <t>破損率（輸送事故率）</t>
        </is>
      </c>
      <c r="C13" s="12" t="n">
        <v>0.02</v>
      </c>
      <c r="D13" s="7" t="inlineStr">
        <is>
          <t>きちんと梱包すれば1〜2%。ここを2%で保守的に設定</t>
        </is>
      </c>
    </row>
    <row r="14">
      <c r="B14" s="5" t="inlineStr">
        <is>
          <t>目標 月間利益（円）</t>
        </is>
      </c>
      <c r="C14" s="11" t="n">
        <v>30000</v>
      </c>
      <c r="D14" s="7" t="inlineStr">
        <is>
          <t>まずはここを3万円に</t>
        </is>
      </c>
    </row>
    <row r="16">
      <c r="B16" s="3" t="inlineStr">
        <is>
          <t>② 1件あたりの採算（破損リスクを織り込んだ期待値）</t>
        </is>
      </c>
      <c r="C16" s="4" t="n"/>
      <c r="D16" s="4" t="n"/>
    </row>
    <row r="17">
      <c r="B17" s="5" t="inlineStr">
        <is>
          <t>売上（円）＝販売単価</t>
        </is>
      </c>
      <c r="C17" s="13">
        <f>C8</f>
        <v/>
      </c>
      <c r="D17" s="7" t="inlineStr">
        <is>
          <t>お客様が支払う額</t>
        </is>
      </c>
    </row>
    <row r="18">
      <c r="B18" s="5" t="inlineStr">
        <is>
          <t>プラットフォーム手数料（円）</t>
        </is>
      </c>
      <c r="C18" s="13">
        <f>C8*C12</f>
        <v/>
      </c>
      <c r="D18" s="7" t="inlineStr">
        <is>
          <t>＝売上 × 手数料率</t>
        </is>
      </c>
    </row>
    <row r="19">
      <c r="B19" s="5" t="inlineStr">
        <is>
          <t>変動費計（円）＝仕入+送料+梱包</t>
        </is>
      </c>
      <c r="C19" s="13">
        <f>C9+C10+C11</f>
        <v/>
      </c>
      <c r="D19" s="7" t="inlineStr">
        <is>
          <t>1個売るごとに必ず出ていくお金</t>
        </is>
      </c>
    </row>
    <row r="20">
      <c r="B20" s="5" t="inlineStr">
        <is>
          <t>成功時の利益（円）</t>
        </is>
      </c>
      <c r="C20" s="13">
        <f>C8-C8*C12-(C9+C10+C11)</f>
        <v/>
      </c>
      <c r="D20" s="7" t="inlineStr">
        <is>
          <t>無事届いたとき：売上-手数料-変動費</t>
        </is>
      </c>
    </row>
    <row r="21">
      <c r="B21" s="5" t="inlineStr">
        <is>
          <t>破損時の損失（円）</t>
        </is>
      </c>
      <c r="C21" s="13">
        <f>-(C9+C10+C11)</f>
        <v/>
      </c>
      <c r="D21" s="7" t="inlineStr">
        <is>
          <t>割れたら全額返金＝売上ゼロ、変動費は自腹</t>
        </is>
      </c>
    </row>
    <row r="22">
      <c r="B22" s="9" t="inlineStr">
        <is>
          <t>★期待利益／件（円）</t>
        </is>
      </c>
      <c r="C22" s="14">
        <f>(1-C13)*(C8-C8*C12)-(C9+C10+C11)</f>
        <v/>
      </c>
      <c r="D22" s="7" t="inlineStr">
        <is>
          <t>破損確率を織り込んだ1件の平均利益</t>
        </is>
      </c>
    </row>
    <row r="23">
      <c r="B23" s="5" t="inlineStr">
        <is>
          <t>期待粗利率</t>
        </is>
      </c>
      <c r="C23" s="15">
        <f>IFERROR(C22/C8,0)</f>
        <v/>
      </c>
      <c r="D23" s="7" t="inlineStr">
        <is>
          <t>期待利益 ÷ 売上</t>
        </is>
      </c>
    </row>
    <row r="25">
      <c r="B25" s="3" t="inlineStr">
        <is>
          <t>③ 月3万円を達成するための必要販売数</t>
        </is>
      </c>
      <c r="C25" s="4" t="n"/>
      <c r="D25" s="4" t="n"/>
    </row>
    <row r="26">
      <c r="B26" s="9" t="inlineStr">
        <is>
          <t>必要販売数／月（件）</t>
        </is>
      </c>
      <c r="C26" s="16">
        <f>ROUNDUP(C14/C22,0)</f>
        <v/>
      </c>
      <c r="D26" s="7" t="inlineStr">
        <is>
          <t>目標利益 ÷ 期待利益／件（切上げ）</t>
        </is>
      </c>
    </row>
    <row r="27">
      <c r="B27" s="9" t="inlineStr">
        <is>
          <t>週あたり販売数（件）</t>
        </is>
      </c>
      <c r="C27" s="17">
        <f>ROUNDUP(C14/C22,0)/4.3</f>
        <v/>
      </c>
      <c r="D27" s="7" t="inlineStr">
        <is>
          <t>だいたいの週ペース</t>
        </is>
      </c>
    </row>
    <row r="28">
      <c r="B28" s="9" t="inlineStr">
        <is>
          <t>想定 月商（円）</t>
        </is>
      </c>
      <c r="C28" s="18">
        <f>ROUNDUP(C14/C22,0)*C8</f>
        <v/>
      </c>
      <c r="D28" s="7" t="inlineStr">
        <is>
          <t>必要販売数 × 売上</t>
        </is>
      </c>
    </row>
    <row r="29">
      <c r="B29" s="9" t="inlineStr">
        <is>
          <t>必要 仕入資金の目安（円）</t>
        </is>
      </c>
      <c r="C29" s="18">
        <f>ROUNDUP(C14/C22,0)*C9</f>
        <v/>
      </c>
      <c r="D29" s="7" t="inlineStr">
        <is>
          <t>その月に売る分の仕入原価合計</t>
        </is>
      </c>
    </row>
    <row r="30">
      <c r="B30" s="9" t="inlineStr">
        <is>
          <t>想定 破損件数／月（件）</t>
        </is>
      </c>
      <c r="C30" s="17">
        <f>ROUNDUP(C14/C22,0)*C13</f>
        <v/>
      </c>
      <c r="D30" s="7" t="inlineStr">
        <is>
          <t>この件数は返金想定。梱包で減らせる</t>
        </is>
      </c>
    </row>
  </sheetData>
  <mergeCells count="5">
    <mergeCell ref="B3:D3"/>
    <mergeCell ref="B5:D5"/>
    <mergeCell ref="B2:D2"/>
    <mergeCell ref="B25:D25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15" customWidth="1" min="4" max="4"/>
    <col width="15" customWidth="1" min="5" max="5"/>
  </cols>
  <sheetData>
    <row r="2">
      <c r="B2" s="19" t="inlineStr">
        <is>
          <t>シナリオ比較：条件を変えると必要販売数はどう変わる？</t>
        </is>
      </c>
    </row>
    <row r="3">
      <c r="B3" s="20" t="inlineStr">
        <is>
          <t>慎重＝安く早く売る／標準＝基本ケース／強気＝単価を上げる。黄色セルは自由に変更可。</t>
        </is>
      </c>
    </row>
    <row r="5">
      <c r="B5" s="21" t="inlineStr">
        <is>
          <t>項目</t>
        </is>
      </c>
      <c r="C5" s="21" t="inlineStr">
        <is>
          <t>慎重</t>
        </is>
      </c>
      <c r="D5" s="21" t="inlineStr">
        <is>
          <t>標準</t>
        </is>
      </c>
      <c r="E5" s="21" t="inlineStr">
        <is>
          <t>強気</t>
        </is>
      </c>
    </row>
    <row r="6">
      <c r="B6" s="22" t="inlineStr">
        <is>
          <t>販売単価（USD）</t>
        </is>
      </c>
      <c r="C6" s="23" t="n">
        <v>28</v>
      </c>
      <c r="D6" s="23" t="n">
        <v>35</v>
      </c>
      <c r="E6" s="23" t="n">
        <v>55</v>
      </c>
    </row>
    <row r="7">
      <c r="B7" s="22" t="inlineStr">
        <is>
          <t>為替レート（¥/USD）</t>
        </is>
      </c>
      <c r="C7" s="23" t="n">
        <v>150</v>
      </c>
      <c r="D7" s="23" t="n">
        <v>150</v>
      </c>
      <c r="E7" s="23" t="n">
        <v>150</v>
      </c>
    </row>
    <row r="8">
      <c r="B8" s="22" t="inlineStr">
        <is>
          <t>仕入原価（円）</t>
        </is>
      </c>
      <c r="C8" s="24" t="n">
        <v>1200</v>
      </c>
      <c r="D8" s="24" t="n">
        <v>1500</v>
      </c>
      <c r="E8" s="24" t="n">
        <v>2500</v>
      </c>
    </row>
    <row r="9">
      <c r="B9" s="22" t="inlineStr">
        <is>
          <t>国際送料（円）</t>
        </is>
      </c>
      <c r="C9" s="24" t="n">
        <v>1600</v>
      </c>
      <c r="D9" s="24" t="n">
        <v>1800</v>
      </c>
      <c r="E9" s="24" t="n">
        <v>2200</v>
      </c>
    </row>
    <row r="10">
      <c r="B10" s="22" t="inlineStr">
        <is>
          <t>梱包資材費（円）</t>
        </is>
      </c>
      <c r="C10" s="24" t="n">
        <v>200</v>
      </c>
      <c r="D10" s="24" t="n">
        <v>250</v>
      </c>
      <c r="E10" s="24" t="n">
        <v>350</v>
      </c>
    </row>
    <row r="11">
      <c r="B11" s="22" t="inlineStr">
        <is>
          <t>手数料率</t>
        </is>
      </c>
      <c r="C11" s="25" t="n">
        <v>0.12</v>
      </c>
      <c r="D11" s="25" t="n">
        <v>0.12</v>
      </c>
      <c r="E11" s="25" t="n">
        <v>0.12</v>
      </c>
    </row>
    <row r="12">
      <c r="B12" s="22" t="inlineStr">
        <is>
          <t>破損率</t>
        </is>
      </c>
      <c r="C12" s="25" t="n">
        <v>0.03</v>
      </c>
      <c r="D12" s="25" t="n">
        <v>0.02</v>
      </c>
      <c r="E12" s="25" t="n">
        <v>0.015</v>
      </c>
    </row>
    <row r="13">
      <c r="B13" s="22" t="inlineStr">
        <is>
          <t>目標月間利益（円）</t>
        </is>
      </c>
      <c r="C13" s="24" t="n">
        <v>30000</v>
      </c>
      <c r="D13" s="24" t="n">
        <v>30000</v>
      </c>
      <c r="E13" s="24" t="n">
        <v>30000</v>
      </c>
    </row>
    <row r="14">
      <c r="B14" s="26" t="inlineStr">
        <is>
          <t>販売単価（円）</t>
        </is>
      </c>
      <c r="C14" s="27">
        <f>C6*C7</f>
        <v/>
      </c>
      <c r="D14" s="27">
        <f>D6*D7</f>
        <v/>
      </c>
      <c r="E14" s="27">
        <f>E6*E7</f>
        <v/>
      </c>
    </row>
    <row r="15">
      <c r="B15" s="26" t="inlineStr">
        <is>
          <t>期待利益／件（円）</t>
        </is>
      </c>
      <c r="C15" s="28">
        <f>(1-C12)*(C14-C14*C11)-(C8+C9+C10)</f>
        <v/>
      </c>
      <c r="D15" s="28">
        <f>(1-D12)*(D14-D14*D11)-(D8+D9+D10)</f>
        <v/>
      </c>
      <c r="E15" s="28">
        <f>(1-E12)*(E14-E14*E11)-(E8+E9+E10)</f>
        <v/>
      </c>
    </row>
    <row r="16">
      <c r="B16" s="26" t="inlineStr">
        <is>
          <t>期待粗利率</t>
        </is>
      </c>
      <c r="C16" s="29">
        <f>IFERROR(C15/C14,0)</f>
        <v/>
      </c>
      <c r="D16" s="29">
        <f>IFERROR(D15/D14,0)</f>
        <v/>
      </c>
      <c r="E16" s="29">
        <f>IFERROR(E15/E14,0)</f>
        <v/>
      </c>
    </row>
    <row r="17">
      <c r="B17" s="26" t="inlineStr">
        <is>
          <t>必要販売数／月（件）</t>
        </is>
      </c>
      <c r="C17" s="30">
        <f>ROUNDUP(C13/C15,0)</f>
        <v/>
      </c>
      <c r="D17" s="30">
        <f>ROUNDUP(D13/D15,0)</f>
        <v/>
      </c>
      <c r="E17" s="30">
        <f>ROUNDUP(E13/E15,0)</f>
        <v/>
      </c>
    </row>
    <row r="18">
      <c r="B18" s="26" t="inlineStr">
        <is>
          <t>週あたり（件）</t>
        </is>
      </c>
      <c r="C18" s="31">
        <f>C17/4.3</f>
        <v/>
      </c>
      <c r="D18" s="31">
        <f>D17/4.3</f>
        <v/>
      </c>
      <c r="E18" s="31">
        <f>E17/4.3</f>
        <v/>
      </c>
    </row>
    <row r="19">
      <c r="B19" s="26" t="inlineStr">
        <is>
          <t>想定 仕入資金（円）</t>
        </is>
      </c>
      <c r="C19" s="32">
        <f>C17*C8</f>
        <v/>
      </c>
      <c r="D19" s="32">
        <f>D17*D8</f>
        <v/>
      </c>
      <c r="E19" s="32">
        <f>E17*E8</f>
        <v/>
      </c>
    </row>
  </sheetData>
  <mergeCells count="2"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2026-07-24T07:55:27Z</dcterms:created>
  <dcterms:modified xsi:type="dcterms:W3CDTF">2026-07-24T07:55:27Z</dcterms:modified>
</cp:coreProperties>
</file>